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unimelbcloud-my.sharepoint.com/personal/stavyad_student_unimelb_edu_au/Documents/Medium Articles/Python Investment Article/PersonalProj/"/>
    </mc:Choice>
  </mc:AlternateContent>
  <xr:revisionPtr revIDLastSave="4" documentId="13_ncr:1_{585874A5-EA51-4639-9D59-BEE92B69C405}" xr6:coauthVersionLast="47" xr6:coauthVersionMax="47" xr10:uidLastSave="{31F7225E-AD0A-42B0-BB97-6A4A9797F33A}"/>
  <bookViews>
    <workbookView xWindow="-108" yWindow="-108" windowWidth="23256" windowHeight="13176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final_calculato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F3" i="1" a="1"/>
  <c r="F3" i="1"/>
  <c r="F22" i="1"/>
  <c r="C22" i="1"/>
  <c r="B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<sst xmlns="http://schemas.openxmlformats.org/spreadsheetml/2006/main" count="43" uniqueCount="43">
  <si>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</si>
  <si>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</si>
  <si>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</si>
  <si>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</si>
  <si>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</si>
  <si>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</si>
  <si>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</si>
  <si>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</si>
  <si>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</si>
  <si>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</si>
  <si>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</si>
  <si>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</si>
  <si>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</si>
  <si>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</si>
  <si>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</si>
  <si>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Fund</t>
  </si>
  <si>
    <t>Initial Amount</t>
  </si>
  <si>
    <t>Monthly</t>
  </si>
  <si>
    <t>Start Date</t>
  </si>
  <si>
    <t>Time Period</t>
  </si>
  <si>
    <t>Total investment</t>
  </si>
  <si>
    <t>Expected Return (from last 5 years)</t>
  </si>
  <si>
    <t>Equity</t>
  </si>
  <si>
    <t>Motilal Oswal S&amp;P 500 Index Fund</t>
  </si>
  <si>
    <t>ICICI prudential plan</t>
  </si>
  <si>
    <t>Parag Parikh Flexi Cap Fund</t>
  </si>
  <si>
    <t xml:space="preserve">Canara Robeco Bluchip Fund </t>
  </si>
  <si>
    <t>Motilal Oswal NASDAQ 100 FOF</t>
  </si>
  <si>
    <t>Edelweiss Balanced Advantage</t>
  </si>
  <si>
    <t>ICICI Prudential Asset Allocator fund</t>
  </si>
  <si>
    <t>ICICI Prudential Technology Direct Plan</t>
  </si>
  <si>
    <t>Quant Absolute Fund</t>
  </si>
  <si>
    <t xml:space="preserve">Mom NPS </t>
  </si>
  <si>
    <t>Quant Small Cap fund</t>
  </si>
  <si>
    <t>Kotak Gold Fund</t>
  </si>
  <si>
    <t>RBI Gold Bonds</t>
  </si>
  <si>
    <t>SBI Gold fund</t>
  </si>
  <si>
    <t>Electric Mobility (Smallcase)</t>
  </si>
  <si>
    <t>Global Opportuntiies (Smallcase)</t>
  </si>
  <si>
    <t>Cryptocurrency</t>
  </si>
  <si>
    <t>Dividend Stars</t>
  </si>
  <si>
    <t xml:space="preserve"> 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</si>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</sst>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10" fontId="0" fillId="0" borderId="0" xfId="0" applyNumberFormat="1" applyAlignment="1">
      <alignment vertical="top"/>
    </xf>
    <xf numFmtId="9" fontId="0" fillId="0" borderId="0" xfId="0" applyNumberFormat="1" applyAlignment="1">
      <alignment vertical="top"/>
    </xf>
    <xf numFmtId="3" fontId="1" fillId="0" borderId="0" xfId="0" applyNumberFormat="1" applyFont="1" applyAlignment="1">
      <alignment vertical="top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2"/>
  <sheetViews>
    <sheetView tabSelected="1" workbookViewId="0">
      <selection activeCell="H3" sqref="H3"/>
    </sheetView>
  </sheetViews>
  <sheetFormatPr defaultColWidth="18.296875" defaultRowHeight="15.6" x14ac:dyDescent="0.3"/>
  <sheetData>
    <row r="1" spans="1:7" ht="62.4" x14ac:dyDescent="0.3">
      <c r="A1" s="3" t="s">
        <v>15</v>
      </c>
      <c r="B1" s="4" t="s">
        <v>16</v>
      </c>
      <c r="C1" s="4" t="s">
        <v>17</v>
      </c>
      <c r="D1" s="4" t="s">
        <v>18</v>
      </c>
      <c r="E1" s="4" t="s">
        <v>19</v>
      </c>
      <c r="F1" s="4" t="s">
        <v>20</v>
      </c>
      <c r="G1" s="3" t="s">
        <v>21</v>
      </c>
    </row>
    <row r="2" spans="1:7" ht="18" x14ac:dyDescent="0.3">
      <c r="A2" s="5" t="s">
        <v>22</v>
      </c>
      <c r="B2" s="6"/>
      <c r="C2" s="6"/>
      <c r="D2" s="6"/>
      <c r="E2" s="6"/>
      <c r="F2" s="6"/>
      <c r="G2" s="6"/>
    </row>
    <row r="3" spans="1:7" ht="62.4" x14ac:dyDescent="0.3">
      <c r="A3" s="7" t="s">
        <v>23</v>
      </c>
      <c r="B3" s="8">
        <v>262037</v>
      </c>
      <c r="C3" s="8">
        <v>15000</v>
      </c>
      <c r="D3" s="9">
        <v>44593</v>
      </c>
      <c r="E3" s="6">
        <v>1</v>
      </c>
      <c r="F3" s="8" cm="1">
        <f t="array" ref="F3:F21">B3:B21+(C3:C21)*$E$3*12</f>
        <v>442037</v>
      </c>
      <c r="G3" s="10">
        <v>0.11</v>
      </c>
    </row>
    <row r="4" spans="1:7" ht="46.8" x14ac:dyDescent="0.3">
      <c r="A4" s="7" t="s">
        <v>24</v>
      </c>
      <c r="B4" s="8">
        <v>0</v>
      </c>
      <c r="C4" s="8">
        <f>200000/12</f>
        <v>16666.666666666668</v>
      </c>
      <c r="D4" s="9">
        <v>44593</v>
      </c>
      <c r="E4" s="6">
        <v>4</v>
      </c>
      <c r="F4" s="8">
        <v>200000</v>
      </c>
      <c r="G4" s="10">
        <v>0.12</v>
      </c>
    </row>
    <row r="5" spans="1:7" ht="46.8" x14ac:dyDescent="0.3">
      <c r="A5" s="7" t="s">
        <v>25</v>
      </c>
      <c r="B5" s="8">
        <v>282506</v>
      </c>
      <c r="C5" s="8">
        <v>20000</v>
      </c>
      <c r="D5" s="9">
        <v>44593</v>
      </c>
      <c r="E5" s="6">
        <v>5</v>
      </c>
      <c r="F5" s="6">
        <v>522506</v>
      </c>
      <c r="G5" s="10">
        <v>0.16</v>
      </c>
    </row>
    <row r="6" spans="1:7" ht="62.4" x14ac:dyDescent="0.3">
      <c r="A6" s="7" t="s">
        <v>26</v>
      </c>
      <c r="B6" s="8">
        <v>247000</v>
      </c>
      <c r="C6" s="8">
        <v>12000</v>
      </c>
      <c r="D6" s="9">
        <v>44593</v>
      </c>
      <c r="E6" s="6">
        <v>5</v>
      </c>
      <c r="F6" s="6">
        <v>391000</v>
      </c>
      <c r="G6" s="10">
        <v>0.13</v>
      </c>
    </row>
    <row r="7" spans="1:7" ht="62.4" x14ac:dyDescent="0.3">
      <c r="A7" s="7" t="s">
        <v>27</v>
      </c>
      <c r="B7" s="8">
        <v>47554</v>
      </c>
      <c r="C7" s="8">
        <v>10000</v>
      </c>
      <c r="D7" s="9">
        <v>44593</v>
      </c>
      <c r="E7" s="6">
        <v>5</v>
      </c>
      <c r="F7" s="6">
        <v>167554</v>
      </c>
      <c r="G7" s="10">
        <v>0.12</v>
      </c>
    </row>
    <row r="8" spans="1:7" x14ac:dyDescent="0.3">
      <c r="A8" s="6" t="s">
        <v>28</v>
      </c>
      <c r="B8" s="8">
        <v>44288</v>
      </c>
      <c r="C8" s="8">
        <v>8858</v>
      </c>
      <c r="D8" s="9">
        <v>44593</v>
      </c>
      <c r="E8" s="6">
        <v>5</v>
      </c>
      <c r="F8" s="6">
        <v>150584</v>
      </c>
      <c r="G8" s="11">
        <v>0.1</v>
      </c>
    </row>
    <row r="9" spans="1:7" x14ac:dyDescent="0.3">
      <c r="A9" s="6" t="s">
        <v>29</v>
      </c>
      <c r="B9" s="8">
        <v>687485</v>
      </c>
      <c r="C9" s="8">
        <v>20000</v>
      </c>
      <c r="D9" s="9">
        <v>44593</v>
      </c>
      <c r="E9" s="6">
        <v>5</v>
      </c>
      <c r="F9" s="6">
        <v>927485</v>
      </c>
      <c r="G9" s="11">
        <v>0.11</v>
      </c>
    </row>
    <row r="10" spans="1:7" ht="62.4" x14ac:dyDescent="0.3">
      <c r="A10" s="7" t="s">
        <v>30</v>
      </c>
      <c r="B10" s="8">
        <v>25262</v>
      </c>
      <c r="C10" s="8">
        <v>4166</v>
      </c>
      <c r="D10" s="9">
        <v>44593</v>
      </c>
      <c r="E10" s="6">
        <v>5</v>
      </c>
      <c r="F10" s="6">
        <v>75254</v>
      </c>
      <c r="G10" s="11">
        <v>0.16</v>
      </c>
    </row>
    <row r="11" spans="1:7" ht="46.8" x14ac:dyDescent="0.3">
      <c r="A11" s="7" t="s">
        <v>31</v>
      </c>
      <c r="B11" s="8">
        <v>15309</v>
      </c>
      <c r="C11" s="8">
        <v>2500</v>
      </c>
      <c r="D11" s="9">
        <v>44593</v>
      </c>
      <c r="E11" s="6">
        <v>5</v>
      </c>
      <c r="F11" s="6">
        <v>45309</v>
      </c>
      <c r="G11" s="11">
        <v>0.15</v>
      </c>
    </row>
    <row r="12" spans="1:7" x14ac:dyDescent="0.3">
      <c r="A12" s="7" t="s">
        <v>32</v>
      </c>
      <c r="B12" s="8">
        <v>75000</v>
      </c>
      <c r="C12" s="8">
        <v>75000</v>
      </c>
      <c r="D12" s="9">
        <v>44593</v>
      </c>
      <c r="E12" s="6"/>
      <c r="F12" s="6">
        <v>975000</v>
      </c>
      <c r="G12" s="11">
        <v>0.12</v>
      </c>
    </row>
    <row r="13" spans="1:7" ht="46.8" x14ac:dyDescent="0.3">
      <c r="A13" s="7" t="s">
        <v>33</v>
      </c>
      <c r="B13" s="8">
        <v>42397</v>
      </c>
      <c r="C13" s="8">
        <v>8333</v>
      </c>
      <c r="D13" s="9">
        <v>44593</v>
      </c>
      <c r="E13" s="6">
        <v>5</v>
      </c>
      <c r="F13" s="6">
        <v>142393</v>
      </c>
      <c r="G13" s="10">
        <v>0.11219999999999999</v>
      </c>
    </row>
    <row r="14" spans="1:7" ht="31.2" x14ac:dyDescent="0.3">
      <c r="A14" s="7" t="s">
        <v>34</v>
      </c>
      <c r="B14" s="8">
        <v>60000</v>
      </c>
      <c r="C14" s="8">
        <v>10000</v>
      </c>
      <c r="D14" s="9">
        <v>44593</v>
      </c>
      <c r="E14" s="6">
        <v>5</v>
      </c>
      <c r="F14" s="6">
        <v>180000</v>
      </c>
      <c r="G14" s="11">
        <v>0.08</v>
      </c>
    </row>
    <row r="15" spans="1:7" ht="31.2" x14ac:dyDescent="0.3">
      <c r="A15" s="7" t="s">
        <v>35</v>
      </c>
      <c r="B15" s="8">
        <v>2000000</v>
      </c>
      <c r="C15" s="8">
        <v>0</v>
      </c>
      <c r="D15" s="9">
        <v>44593</v>
      </c>
      <c r="E15" s="6">
        <v>5</v>
      </c>
      <c r="F15" s="6">
        <v>2000000</v>
      </c>
      <c r="G15" s="11">
        <v>0.1</v>
      </c>
    </row>
    <row r="16" spans="1:7" ht="31.2" x14ac:dyDescent="0.3">
      <c r="A16" s="7" t="s">
        <v>36</v>
      </c>
      <c r="B16" s="8">
        <v>70227</v>
      </c>
      <c r="C16" s="8">
        <v>20000</v>
      </c>
      <c r="D16" s="9">
        <v>44593</v>
      </c>
      <c r="E16" s="6">
        <v>5</v>
      </c>
      <c r="F16" s="6">
        <v>310227</v>
      </c>
      <c r="G16" s="11">
        <v>0.08</v>
      </c>
    </row>
    <row r="17" spans="1:7" ht="46.8" x14ac:dyDescent="0.3">
      <c r="A17" s="7" t="s">
        <v>37</v>
      </c>
      <c r="B17" s="8">
        <v>92167</v>
      </c>
      <c r="C17" s="8">
        <v>16000</v>
      </c>
      <c r="D17" s="9">
        <v>44593</v>
      </c>
      <c r="E17" s="6">
        <v>5</v>
      </c>
      <c r="F17" s="6">
        <v>284167</v>
      </c>
      <c r="G17" s="11">
        <v>0.12</v>
      </c>
    </row>
    <row r="18" spans="1:7" ht="62.4" x14ac:dyDescent="0.3">
      <c r="A18" s="7" t="s">
        <v>38</v>
      </c>
      <c r="B18" s="8">
        <v>322607</v>
      </c>
      <c r="C18" s="8">
        <v>20000</v>
      </c>
      <c r="D18" s="9">
        <v>44593</v>
      </c>
      <c r="E18" s="6">
        <v>5</v>
      </c>
      <c r="F18" s="6">
        <v>562607</v>
      </c>
      <c r="G18" s="11">
        <v>0.14000000000000001</v>
      </c>
    </row>
    <row r="19" spans="1:7" ht="31.2" x14ac:dyDescent="0.3">
      <c r="A19" s="7" t="s">
        <v>39</v>
      </c>
      <c r="B19" s="8">
        <v>175000</v>
      </c>
      <c r="C19" s="8">
        <v>12500</v>
      </c>
      <c r="D19" s="9">
        <v>44593</v>
      </c>
      <c r="E19" s="6">
        <v>5</v>
      </c>
      <c r="F19" s="6">
        <v>325000</v>
      </c>
      <c r="G19" s="11">
        <v>0.2</v>
      </c>
    </row>
    <row r="20" spans="1:7" ht="31.2" x14ac:dyDescent="0.3">
      <c r="A20" s="7" t="s">
        <v>40</v>
      </c>
      <c r="B20" s="8">
        <v>247873</v>
      </c>
      <c r="C20" s="8">
        <v>16000</v>
      </c>
      <c r="D20" s="9">
        <v>44593</v>
      </c>
      <c r="E20" s="6">
        <v>5</v>
      </c>
      <c r="F20" s="6">
        <v>439873</v>
      </c>
      <c r="G20" s="11">
        <v>0.16</v>
      </c>
    </row>
    <row r="21" spans="1:7" x14ac:dyDescent="0.3">
      <c r="A21" s="7" t="s">
        <v>41</v>
      </c>
      <c r="B21" s="8">
        <v>247873</v>
      </c>
      <c r="C21" s="8">
        <v>40000</v>
      </c>
      <c r="D21" s="9">
        <v>44593</v>
      </c>
      <c r="E21" s="6">
        <v>5</v>
      </c>
      <c r="F21" s="6">
        <v>727873</v>
      </c>
      <c r="G21" s="11">
        <v>0.15</v>
      </c>
    </row>
    <row r="22" spans="1:7" x14ac:dyDescent="0.3">
      <c r="A22" s="3" t="s">
        <v>42</v>
      </c>
      <c r="B22" s="12">
        <f>SUM(B3:B21)</f>
        <v>4944585</v>
      </c>
      <c r="C22" s="12">
        <f>SUM(C3:C21)</f>
        <v>327023.66666666669</v>
      </c>
      <c r="D22" s="4"/>
      <c r="E22" s="4"/>
      <c r="F22" s="12">
        <f>SUM(F3:F21)</f>
        <v>8868869</v>
      </c>
      <c r="G22" s="4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2" sqref="B2"/>
    </sheetView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Yogesh Dutta</cp:lastModifiedBy>
  <dcterms:created xsi:type="dcterms:W3CDTF">2015-01-25T11:31:25Z</dcterms:created>
  <dcterms:modified xsi:type="dcterms:W3CDTF">2022-03-31T03:43:04Z</dcterms:modified>
</cp:coreProperties>
</file>